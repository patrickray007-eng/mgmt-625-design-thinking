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trick/knowledge-base/01_Projects/Spring 2026 Courses/MGMT-625/Section-001/.attendance/"/>
    </mc:Choice>
  </mc:AlternateContent>
  <xr:revisionPtr revIDLastSave="0" documentId="13_ncr:1_{FB6ED33C-3901-EA41-B59C-53D254DFBEC6}" xr6:coauthVersionLast="47" xr6:coauthVersionMax="47" xr10:uidLastSave="{00000000-0000-0000-0000-000000000000}"/>
  <bookViews>
    <workbookView xWindow="140" yWindow="920" windowWidth="14880" windowHeight="1858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F30" i="1"/>
  <c r="E30" i="1"/>
  <c r="D30" i="1"/>
  <c r="K29" i="1"/>
  <c r="J29" i="1"/>
  <c r="I29" i="1"/>
  <c r="B29" i="1" s="1"/>
  <c r="K28" i="1"/>
  <c r="J28" i="1"/>
  <c r="I28" i="1"/>
  <c r="K27" i="1"/>
  <c r="J27" i="1"/>
  <c r="I27" i="1"/>
  <c r="K26" i="1"/>
  <c r="J26" i="1"/>
  <c r="I26" i="1"/>
  <c r="B26" i="1" s="1"/>
  <c r="K25" i="1"/>
  <c r="J25" i="1"/>
  <c r="I25" i="1"/>
  <c r="B25" i="1" s="1"/>
  <c r="B24" i="1"/>
  <c r="K24" i="1"/>
  <c r="J24" i="1"/>
  <c r="I24" i="1"/>
  <c r="K23" i="1"/>
  <c r="J23" i="1"/>
  <c r="I23" i="1"/>
  <c r="K22" i="1"/>
  <c r="J22" i="1"/>
  <c r="I22" i="1"/>
  <c r="K21" i="1"/>
  <c r="J21" i="1"/>
  <c r="I21" i="1"/>
  <c r="B21" i="1" s="1"/>
  <c r="K20" i="1"/>
  <c r="J20" i="1"/>
  <c r="I20" i="1"/>
  <c r="B20" i="1" s="1"/>
  <c r="B19" i="1"/>
  <c r="K19" i="1"/>
  <c r="J19" i="1"/>
  <c r="I19" i="1"/>
  <c r="K18" i="1"/>
  <c r="J18" i="1"/>
  <c r="I18" i="1"/>
  <c r="K17" i="1"/>
  <c r="J17" i="1"/>
  <c r="I17" i="1"/>
  <c r="K16" i="1"/>
  <c r="J16" i="1"/>
  <c r="I16" i="1"/>
  <c r="B16" i="1" s="1"/>
  <c r="B15" i="1"/>
  <c r="K15" i="1"/>
  <c r="J15" i="1"/>
  <c r="I15" i="1"/>
  <c r="K14" i="1"/>
  <c r="J14" i="1"/>
  <c r="I14" i="1"/>
  <c r="B14" i="1" s="1"/>
  <c r="K13" i="1"/>
  <c r="J13" i="1"/>
  <c r="B13" i="1" s="1"/>
  <c r="I13" i="1"/>
  <c r="K12" i="1"/>
  <c r="J12" i="1"/>
  <c r="I12" i="1"/>
  <c r="K11" i="1"/>
  <c r="J11" i="1"/>
  <c r="I11" i="1"/>
  <c r="B11" i="1" s="1"/>
  <c r="B10" i="1"/>
  <c r="K10" i="1"/>
  <c r="J10" i="1"/>
  <c r="I10" i="1"/>
  <c r="K9" i="1"/>
  <c r="J9" i="1"/>
  <c r="I9" i="1"/>
  <c r="B9" i="1" s="1"/>
  <c r="K8" i="1"/>
  <c r="J8" i="1"/>
  <c r="I8" i="1"/>
  <c r="K7" i="1"/>
  <c r="J7" i="1"/>
  <c r="B7" i="1" s="1"/>
  <c r="I7" i="1"/>
  <c r="K6" i="1"/>
  <c r="J6" i="1"/>
  <c r="I6" i="1"/>
  <c r="B6" i="1" s="1"/>
  <c r="K5" i="1"/>
  <c r="J5" i="1"/>
  <c r="I5" i="1"/>
  <c r="B5" i="1" s="1"/>
  <c r="K4" i="1"/>
  <c r="J4" i="1"/>
  <c r="I4" i="1"/>
  <c r="B4" i="1" s="1"/>
  <c r="K3" i="1"/>
  <c r="J3" i="1"/>
  <c r="I3" i="1"/>
  <c r="K2" i="1"/>
  <c r="J2" i="1"/>
  <c r="I2" i="1"/>
  <c r="B8" i="1" l="1"/>
  <c r="B22" i="1"/>
  <c r="B2" i="1"/>
  <c r="B17" i="1"/>
  <c r="B3" i="1"/>
  <c r="B12" i="1"/>
  <c r="B18" i="1"/>
  <c r="B27" i="1"/>
  <c r="B23" i="1"/>
  <c r="B28" i="1"/>
</calcChain>
</file>

<file path=xl/sharedStrings.xml><?xml version="1.0" encoding="utf-8"?>
<sst xmlns="http://schemas.openxmlformats.org/spreadsheetml/2006/main" count="212" uniqueCount="75">
  <si>
    <t>NetID</t>
  </si>
  <si>
    <t>2/16</t>
  </si>
  <si>
    <t>2/18</t>
  </si>
  <si>
    <t>2/23</t>
  </si>
  <si>
    <t>2/25</t>
  </si>
  <si>
    <t>3/2</t>
  </si>
  <si>
    <t>Present</t>
  </si>
  <si>
    <t>Excused</t>
  </si>
  <si>
    <t>Absent</t>
  </si>
  <si>
    <t>% On-Time/Present</t>
  </si>
  <si>
    <t>Madhulika Annam</t>
  </si>
  <si>
    <t>ma220</t>
  </si>
  <si>
    <t>P</t>
  </si>
  <si>
    <t>A</t>
  </si>
  <si>
    <t>Henry Awaka</t>
  </si>
  <si>
    <t>ha61</t>
  </si>
  <si>
    <t>Justin Bui</t>
  </si>
  <si>
    <t>jb318</t>
  </si>
  <si>
    <t>Zeynep Civelek</t>
  </si>
  <si>
    <t>zc66</t>
  </si>
  <si>
    <t>Dimple Dedhia</t>
  </si>
  <si>
    <t>dd88</t>
  </si>
  <si>
    <t>Hansi Deshapriya</t>
  </si>
  <si>
    <t>hd61</t>
  </si>
  <si>
    <t>Sierra Fredenrich</t>
  </si>
  <si>
    <t>sf77</t>
  </si>
  <si>
    <t>Lipi Gandhi</t>
  </si>
  <si>
    <t>lg76</t>
  </si>
  <si>
    <t>E</t>
  </si>
  <si>
    <t>Tushar Goel</t>
  </si>
  <si>
    <t>tg50</t>
  </si>
  <si>
    <t>Tatania Gosien</t>
  </si>
  <si>
    <t>tg53</t>
  </si>
  <si>
    <t>Giovanna Hughes</t>
  </si>
  <si>
    <t>jh301</t>
  </si>
  <si>
    <t>Felix Joseph</t>
  </si>
  <si>
    <t>fj10</t>
  </si>
  <si>
    <t>Stacy Kiernan</t>
  </si>
  <si>
    <t>sk315</t>
  </si>
  <si>
    <t>Asad Lalani</t>
  </si>
  <si>
    <t>anl4</t>
  </si>
  <si>
    <t>Joseph Lewis</t>
  </si>
  <si>
    <t>jl578</t>
  </si>
  <si>
    <t>Sylvia Liaw</t>
  </si>
  <si>
    <t>sl301</t>
  </si>
  <si>
    <t>Olivia Loupe</t>
  </si>
  <si>
    <t>ol11</t>
  </si>
  <si>
    <t>Abdul Rehman Mohammad Shahzad</t>
  </si>
  <si>
    <t>am352</t>
  </si>
  <si>
    <t>Mugdha Nanduri</t>
  </si>
  <si>
    <t>mg218</t>
  </si>
  <si>
    <t>Zwee Nguyen</t>
  </si>
  <si>
    <t>zn10</t>
  </si>
  <si>
    <t>Ben Omonira</t>
  </si>
  <si>
    <t>bo20</t>
  </si>
  <si>
    <t>Victory Onyekwere</t>
  </si>
  <si>
    <t>vo20</t>
  </si>
  <si>
    <t>Joy Payne</t>
  </si>
  <si>
    <t>jp162</t>
  </si>
  <si>
    <t>Max David Robert</t>
  </si>
  <si>
    <t>mr203</t>
  </si>
  <si>
    <t>Tanyali Rondon</t>
  </si>
  <si>
    <t>tr62</t>
  </si>
  <si>
    <t>Rishi Sohoni</t>
  </si>
  <si>
    <t>rs237</t>
  </si>
  <si>
    <t>Dyan Utami</t>
  </si>
  <si>
    <t>du7</t>
  </si>
  <si>
    <t>Mayur Vashishth</t>
  </si>
  <si>
    <t>mv73</t>
  </si>
  <si>
    <t>TOTALS</t>
  </si>
  <si>
    <t>Legend:</t>
  </si>
  <si>
    <t>P = Present (on sign-in sheet)</t>
  </si>
  <si>
    <t>E = Excused (emailed before class, not on sheet)</t>
  </si>
  <si>
    <t>A = Absent (unexcused)</t>
  </si>
  <si>
    <t>% = (Present + Excused) / 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</si>
</sst>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b/>
      <sz val="11"/>
      <name val="Calibri"/>
      <family val="2"/>
    </font>
    <font>
      <sz val="11"/>
      <color rgb="FF4472C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150" workbookViewId="0">
      <pane xSplit="3" ySplit="1" topLeftCell="D2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5" x14ac:dyDescent="0.2"/>
  <cols>
    <col min="1" max="1" width="35" customWidth="1"/>
    <col min="2" max="2" width="20" customWidth="1"/>
    <col min="3" max="3" width="8" customWidth="1"/>
    <col min="4" max="8" width="7" customWidth="1"/>
    <col min="9" max="11" width="9" customWidth="1"/>
  </cols>
  <sheetData>
    <row r="1" spans="1:11" x14ac:dyDescent="0.2">
      <c r="A1" s="1"/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">
      <c r="A2" s="2" t="s">
        <v>10</v>
      </c>
      <c r="B2" s="6">
        <f>(I2+J2)/5</f>
        <v>0.8</v>
      </c>
      <c r="C2" s="3" t="s">
        <v>11</v>
      </c>
      <c r="D2" s="4" t="s">
        <v>12</v>
      </c>
      <c r="E2" s="4" t="s">
        <v>12</v>
      </c>
      <c r="F2" s="4" t="s">
        <v>12</v>
      </c>
      <c r="G2" s="5" t="s">
        <v>13</v>
      </c>
      <c r="H2" s="4" t="s">
        <v>12</v>
      </c>
      <c r="I2" s="3">
        <f t="shared" ref="I2:I29" si="0">COUNTIF(D2:H2,"P")</f>
        <v>4</v>
      </c>
      <c r="J2" s="3">
        <f t="shared" ref="J2:J29" si="1">COUNTIF(D2:H2,"E")</f>
        <v>0</v>
      </c>
      <c r="K2" s="3">
        <f t="shared" ref="K2:K29" si="2">COUNTIF(D2:H2,"A")</f>
        <v>1</v>
      </c>
    </row>
    <row r="3" spans="1:11" x14ac:dyDescent="0.2">
      <c r="A3" s="2" t="s">
        <v>14</v>
      </c>
      <c r="B3" s="6">
        <f>(I3+J3)/5</f>
        <v>1</v>
      </c>
      <c r="C3" s="3" t="s">
        <v>15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3">
        <f t="shared" si="0"/>
        <v>5</v>
      </c>
      <c r="J3" s="3">
        <f t="shared" si="1"/>
        <v>0</v>
      </c>
      <c r="K3" s="3">
        <f t="shared" si="2"/>
        <v>0</v>
      </c>
    </row>
    <row r="4" spans="1:11" x14ac:dyDescent="0.2">
      <c r="A4" s="2" t="s">
        <v>16</v>
      </c>
      <c r="B4" s="6">
        <f>(I4+J4)/5</f>
        <v>0.8</v>
      </c>
      <c r="C4" s="3" t="s">
        <v>17</v>
      </c>
      <c r="D4" s="5" t="s">
        <v>13</v>
      </c>
      <c r="E4" s="4" t="s">
        <v>12</v>
      </c>
      <c r="F4" s="4" t="s">
        <v>12</v>
      </c>
      <c r="G4" s="4" t="s">
        <v>12</v>
      </c>
      <c r="H4" s="4" t="s">
        <v>12</v>
      </c>
      <c r="I4" s="3">
        <f t="shared" si="0"/>
        <v>4</v>
      </c>
      <c r="J4" s="3">
        <f t="shared" si="1"/>
        <v>0</v>
      </c>
      <c r="K4" s="3">
        <f t="shared" si="2"/>
        <v>1</v>
      </c>
    </row>
    <row r="5" spans="1:11" x14ac:dyDescent="0.2">
      <c r="A5" s="2" t="s">
        <v>18</v>
      </c>
      <c r="B5" s="6">
        <f>(I5+J5)/5</f>
        <v>1</v>
      </c>
      <c r="C5" s="3" t="s">
        <v>19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3">
        <f t="shared" si="0"/>
        <v>5</v>
      </c>
      <c r="J5" s="3">
        <f t="shared" si="1"/>
        <v>0</v>
      </c>
      <c r="K5" s="3">
        <f t="shared" si="2"/>
        <v>0</v>
      </c>
    </row>
    <row r="6" spans="1:11" x14ac:dyDescent="0.2">
      <c r="A6" s="2" t="s">
        <v>20</v>
      </c>
      <c r="B6" s="6">
        <f>(I6+J6)/5</f>
        <v>0.8</v>
      </c>
      <c r="C6" s="3" t="s">
        <v>21</v>
      </c>
      <c r="D6" s="5" t="s">
        <v>13</v>
      </c>
      <c r="E6" s="4" t="s">
        <v>12</v>
      </c>
      <c r="F6" s="4" t="s">
        <v>12</v>
      </c>
      <c r="G6" s="4" t="s">
        <v>12</v>
      </c>
      <c r="H6" s="4" t="s">
        <v>12</v>
      </c>
      <c r="I6" s="3">
        <f t="shared" si="0"/>
        <v>4</v>
      </c>
      <c r="J6" s="3">
        <f t="shared" si="1"/>
        <v>0</v>
      </c>
      <c r="K6" s="3">
        <f t="shared" si="2"/>
        <v>1</v>
      </c>
    </row>
    <row r="7" spans="1:11" x14ac:dyDescent="0.2">
      <c r="A7" s="2" t="s">
        <v>22</v>
      </c>
      <c r="B7" s="6">
        <f>(I7+J7)/5</f>
        <v>1</v>
      </c>
      <c r="C7" s="3" t="s">
        <v>23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3">
        <f t="shared" si="0"/>
        <v>5</v>
      </c>
      <c r="J7" s="3">
        <f t="shared" si="1"/>
        <v>0</v>
      </c>
      <c r="K7" s="3">
        <f t="shared" si="2"/>
        <v>0</v>
      </c>
    </row>
    <row r="8" spans="1:11" x14ac:dyDescent="0.2">
      <c r="A8" s="2" t="s">
        <v>24</v>
      </c>
      <c r="B8" s="6">
        <f>(I8+J8)/5</f>
        <v>0.6</v>
      </c>
      <c r="C8" s="3" t="s">
        <v>25</v>
      </c>
      <c r="D8" s="5" t="s">
        <v>13</v>
      </c>
      <c r="E8" s="5" t="s">
        <v>13</v>
      </c>
      <c r="F8" s="4" t="s">
        <v>12</v>
      </c>
      <c r="G8" s="4" t="s">
        <v>12</v>
      </c>
      <c r="H8" s="4" t="s">
        <v>12</v>
      </c>
      <c r="I8" s="3">
        <f t="shared" si="0"/>
        <v>3</v>
      </c>
      <c r="J8" s="3">
        <f t="shared" si="1"/>
        <v>0</v>
      </c>
      <c r="K8" s="3">
        <f t="shared" si="2"/>
        <v>2</v>
      </c>
    </row>
    <row r="9" spans="1:11" x14ac:dyDescent="0.2">
      <c r="A9" s="2" t="s">
        <v>26</v>
      </c>
      <c r="B9" s="6">
        <f>(I9+J9)/5</f>
        <v>0.8</v>
      </c>
      <c r="C9" s="3" t="s">
        <v>27</v>
      </c>
      <c r="D9" s="4" t="s">
        <v>12</v>
      </c>
      <c r="E9" s="4" t="s">
        <v>12</v>
      </c>
      <c r="F9" s="7" t="s">
        <v>28</v>
      </c>
      <c r="G9" s="7" t="s">
        <v>28</v>
      </c>
      <c r="H9" s="5" t="s">
        <v>13</v>
      </c>
      <c r="I9" s="3">
        <f t="shared" si="0"/>
        <v>2</v>
      </c>
      <c r="J9" s="3">
        <f t="shared" si="1"/>
        <v>2</v>
      </c>
      <c r="K9" s="3">
        <f t="shared" si="2"/>
        <v>1</v>
      </c>
    </row>
    <row r="10" spans="1:11" x14ac:dyDescent="0.2">
      <c r="A10" s="2" t="s">
        <v>29</v>
      </c>
      <c r="B10" s="6">
        <f>(I10+J10)/5</f>
        <v>0.8</v>
      </c>
      <c r="C10" s="3" t="s">
        <v>30</v>
      </c>
      <c r="D10" s="5" t="s">
        <v>13</v>
      </c>
      <c r="E10" s="4" t="s">
        <v>12</v>
      </c>
      <c r="F10" s="4" t="s">
        <v>12</v>
      </c>
      <c r="G10" s="4" t="s">
        <v>12</v>
      </c>
      <c r="H10" s="4" t="s">
        <v>12</v>
      </c>
      <c r="I10" s="3">
        <f t="shared" si="0"/>
        <v>4</v>
      </c>
      <c r="J10" s="3">
        <f t="shared" si="1"/>
        <v>0</v>
      </c>
      <c r="K10" s="3">
        <f t="shared" si="2"/>
        <v>1</v>
      </c>
    </row>
    <row r="11" spans="1:11" x14ac:dyDescent="0.2">
      <c r="A11" s="2" t="s">
        <v>31</v>
      </c>
      <c r="B11" s="6">
        <f>(I11+J11)/5</f>
        <v>1</v>
      </c>
      <c r="C11" s="3" t="s">
        <v>32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3">
        <f t="shared" si="0"/>
        <v>5</v>
      </c>
      <c r="J11" s="3">
        <f t="shared" si="1"/>
        <v>0</v>
      </c>
      <c r="K11" s="3">
        <f t="shared" si="2"/>
        <v>0</v>
      </c>
    </row>
    <row r="12" spans="1:11" x14ac:dyDescent="0.2">
      <c r="A12" s="2" t="s">
        <v>33</v>
      </c>
      <c r="B12" s="6">
        <f>(I12+J12)/5</f>
        <v>0.8</v>
      </c>
      <c r="C12" s="3" t="s">
        <v>34</v>
      </c>
      <c r="D12" s="4" t="s">
        <v>12</v>
      </c>
      <c r="E12" s="4" t="s">
        <v>12</v>
      </c>
      <c r="F12" s="4" t="s">
        <v>12</v>
      </c>
      <c r="G12" s="5" t="s">
        <v>13</v>
      </c>
      <c r="H12" s="4" t="s">
        <v>12</v>
      </c>
      <c r="I12" s="3">
        <f t="shared" si="0"/>
        <v>4</v>
      </c>
      <c r="J12" s="3">
        <f t="shared" si="1"/>
        <v>0</v>
      </c>
      <c r="K12" s="3">
        <f t="shared" si="2"/>
        <v>1</v>
      </c>
    </row>
    <row r="13" spans="1:11" x14ac:dyDescent="0.2">
      <c r="A13" s="2" t="s">
        <v>35</v>
      </c>
      <c r="B13" s="6">
        <f>(I13+J13)/5</f>
        <v>0.8</v>
      </c>
      <c r="C13" s="3" t="s">
        <v>36</v>
      </c>
      <c r="D13" s="4" t="s">
        <v>12</v>
      </c>
      <c r="E13" s="4" t="s">
        <v>12</v>
      </c>
      <c r="F13" s="5" t="s">
        <v>13</v>
      </c>
      <c r="G13" s="4" t="s">
        <v>12</v>
      </c>
      <c r="H13" s="4" t="s">
        <v>12</v>
      </c>
      <c r="I13" s="3">
        <f t="shared" si="0"/>
        <v>4</v>
      </c>
      <c r="J13" s="3">
        <f t="shared" si="1"/>
        <v>0</v>
      </c>
      <c r="K13" s="3">
        <f t="shared" si="2"/>
        <v>1</v>
      </c>
    </row>
    <row r="14" spans="1:11" x14ac:dyDescent="0.2">
      <c r="A14" s="2" t="s">
        <v>37</v>
      </c>
      <c r="B14" s="6">
        <f>(I14+J14)/5</f>
        <v>1</v>
      </c>
      <c r="C14" s="3" t="s">
        <v>38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3">
        <f t="shared" si="0"/>
        <v>5</v>
      </c>
      <c r="J14" s="3">
        <f t="shared" si="1"/>
        <v>0</v>
      </c>
      <c r="K14" s="3">
        <f t="shared" si="2"/>
        <v>0</v>
      </c>
    </row>
    <row r="15" spans="1:11" x14ac:dyDescent="0.2">
      <c r="A15" s="2" t="s">
        <v>39</v>
      </c>
      <c r="B15" s="6">
        <f>(I15+J15)/5</f>
        <v>1</v>
      </c>
      <c r="C15" s="3" t="s">
        <v>40</v>
      </c>
      <c r="D15" s="7" t="s">
        <v>28</v>
      </c>
      <c r="E15" s="4" t="s">
        <v>12</v>
      </c>
      <c r="F15" s="4" t="s">
        <v>12</v>
      </c>
      <c r="G15" s="4" t="s">
        <v>12</v>
      </c>
      <c r="H15" s="4" t="s">
        <v>12</v>
      </c>
      <c r="I15" s="3">
        <f t="shared" si="0"/>
        <v>4</v>
      </c>
      <c r="J15" s="3">
        <f t="shared" si="1"/>
        <v>1</v>
      </c>
      <c r="K15" s="3">
        <f t="shared" si="2"/>
        <v>0</v>
      </c>
    </row>
    <row r="16" spans="1:11" x14ac:dyDescent="0.2">
      <c r="A16" s="2" t="s">
        <v>41</v>
      </c>
      <c r="B16" s="6">
        <f>(I16+J16)/5</f>
        <v>0.8</v>
      </c>
      <c r="C16" s="3" t="s">
        <v>42</v>
      </c>
      <c r="D16" s="4" t="s">
        <v>12</v>
      </c>
      <c r="E16" s="4" t="s">
        <v>12</v>
      </c>
      <c r="F16" s="4" t="s">
        <v>12</v>
      </c>
      <c r="G16" s="5" t="s">
        <v>13</v>
      </c>
      <c r="H16" s="4" t="s">
        <v>12</v>
      </c>
      <c r="I16" s="3">
        <f t="shared" si="0"/>
        <v>4</v>
      </c>
      <c r="J16" s="3">
        <f t="shared" si="1"/>
        <v>0</v>
      </c>
      <c r="K16" s="3">
        <f t="shared" si="2"/>
        <v>1</v>
      </c>
    </row>
    <row r="17" spans="1:11" x14ac:dyDescent="0.2">
      <c r="A17" s="2" t="s">
        <v>43</v>
      </c>
      <c r="B17" s="6">
        <f>(I17+J17)/5</f>
        <v>1</v>
      </c>
      <c r="C17" s="3" t="s">
        <v>44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  <c r="I17" s="3">
        <f t="shared" si="0"/>
        <v>5</v>
      </c>
      <c r="J17" s="3">
        <f t="shared" si="1"/>
        <v>0</v>
      </c>
      <c r="K17" s="3">
        <f t="shared" si="2"/>
        <v>0</v>
      </c>
    </row>
    <row r="18" spans="1:11" x14ac:dyDescent="0.2">
      <c r="A18" s="2" t="s">
        <v>45</v>
      </c>
      <c r="B18" s="6">
        <f>(I18+J18)/5</f>
        <v>1</v>
      </c>
      <c r="C18" s="3" t="s">
        <v>46</v>
      </c>
      <c r="D18" s="4" t="s">
        <v>12</v>
      </c>
      <c r="E18" s="4" t="s">
        <v>12</v>
      </c>
      <c r="F18" s="7" t="s">
        <v>28</v>
      </c>
      <c r="G18" s="4" t="s">
        <v>12</v>
      </c>
      <c r="H18" s="4" t="s">
        <v>12</v>
      </c>
      <c r="I18" s="3">
        <f t="shared" si="0"/>
        <v>4</v>
      </c>
      <c r="J18" s="3">
        <f t="shared" si="1"/>
        <v>1</v>
      </c>
      <c r="K18" s="3">
        <f t="shared" si="2"/>
        <v>0</v>
      </c>
    </row>
    <row r="19" spans="1:11" x14ac:dyDescent="0.2">
      <c r="A19" s="2" t="s">
        <v>47</v>
      </c>
      <c r="B19" s="6">
        <f>(I19+J19)/5</f>
        <v>0.6</v>
      </c>
      <c r="C19" s="3" t="s">
        <v>48</v>
      </c>
      <c r="D19" s="7" t="s">
        <v>28</v>
      </c>
      <c r="E19" s="4" t="s">
        <v>12</v>
      </c>
      <c r="F19" s="4" t="s">
        <v>12</v>
      </c>
      <c r="G19" s="5" t="s">
        <v>13</v>
      </c>
      <c r="H19" s="5" t="s">
        <v>13</v>
      </c>
      <c r="I19" s="3">
        <f t="shared" si="0"/>
        <v>2</v>
      </c>
      <c r="J19" s="3">
        <f t="shared" si="1"/>
        <v>1</v>
      </c>
      <c r="K19" s="3">
        <f t="shared" si="2"/>
        <v>2</v>
      </c>
    </row>
    <row r="20" spans="1:11" x14ac:dyDescent="0.2">
      <c r="A20" s="2" t="s">
        <v>49</v>
      </c>
      <c r="B20" s="6">
        <f>(I20+J20)/5</f>
        <v>0.6</v>
      </c>
      <c r="C20" s="3" t="s">
        <v>50</v>
      </c>
      <c r="D20" s="5" t="s">
        <v>13</v>
      </c>
      <c r="E20" s="4" t="s">
        <v>12</v>
      </c>
      <c r="F20" s="4" t="s">
        <v>12</v>
      </c>
      <c r="G20" s="4" t="s">
        <v>12</v>
      </c>
      <c r="H20" s="5" t="s">
        <v>13</v>
      </c>
      <c r="I20" s="3">
        <f t="shared" si="0"/>
        <v>3</v>
      </c>
      <c r="J20" s="3">
        <f t="shared" si="1"/>
        <v>0</v>
      </c>
      <c r="K20" s="3">
        <f t="shared" si="2"/>
        <v>2</v>
      </c>
    </row>
    <row r="21" spans="1:11" x14ac:dyDescent="0.2">
      <c r="A21" s="2" t="s">
        <v>51</v>
      </c>
      <c r="B21" s="6">
        <f>(I21+J21)/5</f>
        <v>0.8</v>
      </c>
      <c r="C21" s="3" t="s">
        <v>52</v>
      </c>
      <c r="D21" s="4" t="s">
        <v>12</v>
      </c>
      <c r="E21" s="4" t="s">
        <v>12</v>
      </c>
      <c r="F21" s="5" t="s">
        <v>13</v>
      </c>
      <c r="G21" s="4" t="s">
        <v>12</v>
      </c>
      <c r="H21" s="4" t="s">
        <v>12</v>
      </c>
      <c r="I21" s="3">
        <f t="shared" si="0"/>
        <v>4</v>
      </c>
      <c r="J21" s="3">
        <f t="shared" si="1"/>
        <v>0</v>
      </c>
      <c r="K21" s="3">
        <f t="shared" si="2"/>
        <v>1</v>
      </c>
    </row>
    <row r="22" spans="1:11" x14ac:dyDescent="0.2">
      <c r="A22" s="2" t="s">
        <v>53</v>
      </c>
      <c r="B22" s="6">
        <f>(I22+J22)/5</f>
        <v>0.8</v>
      </c>
      <c r="C22" s="3" t="s">
        <v>54</v>
      </c>
      <c r="D22" s="5" t="s">
        <v>13</v>
      </c>
      <c r="E22" s="4" t="s">
        <v>12</v>
      </c>
      <c r="F22" s="4" t="s">
        <v>12</v>
      </c>
      <c r="G22" s="4" t="s">
        <v>12</v>
      </c>
      <c r="H22" s="4" t="s">
        <v>12</v>
      </c>
      <c r="I22" s="3">
        <f t="shared" si="0"/>
        <v>4</v>
      </c>
      <c r="J22" s="3">
        <f t="shared" si="1"/>
        <v>0</v>
      </c>
      <c r="K22" s="3">
        <f t="shared" si="2"/>
        <v>1</v>
      </c>
    </row>
    <row r="23" spans="1:11" x14ac:dyDescent="0.2">
      <c r="A23" s="2" t="s">
        <v>55</v>
      </c>
      <c r="B23" s="6">
        <f>(I23+J23)/5</f>
        <v>0.4</v>
      </c>
      <c r="C23" s="3" t="s">
        <v>56</v>
      </c>
      <c r="D23" s="5" t="s">
        <v>13</v>
      </c>
      <c r="E23" s="5" t="s">
        <v>13</v>
      </c>
      <c r="F23" s="7" t="s">
        <v>28</v>
      </c>
      <c r="G23" s="4" t="s">
        <v>12</v>
      </c>
      <c r="H23" s="5" t="s">
        <v>13</v>
      </c>
      <c r="I23" s="3">
        <f t="shared" si="0"/>
        <v>1</v>
      </c>
      <c r="J23" s="3">
        <f t="shared" si="1"/>
        <v>1</v>
      </c>
      <c r="K23" s="3">
        <f t="shared" si="2"/>
        <v>3</v>
      </c>
    </row>
    <row r="24" spans="1:11" x14ac:dyDescent="0.2">
      <c r="A24" s="2" t="s">
        <v>57</v>
      </c>
      <c r="B24" s="6">
        <f>(I24+J24)/5</f>
        <v>1</v>
      </c>
      <c r="C24" s="3" t="s">
        <v>58</v>
      </c>
      <c r="D24" s="4" t="s">
        <v>12</v>
      </c>
      <c r="E24" s="4" t="s">
        <v>12</v>
      </c>
      <c r="F24" s="4" t="s">
        <v>12</v>
      </c>
      <c r="G24" s="4" t="s">
        <v>12</v>
      </c>
      <c r="H24" s="7" t="s">
        <v>28</v>
      </c>
      <c r="I24" s="3">
        <f t="shared" si="0"/>
        <v>4</v>
      </c>
      <c r="J24" s="3">
        <f t="shared" si="1"/>
        <v>1</v>
      </c>
      <c r="K24" s="3">
        <f t="shared" si="2"/>
        <v>0</v>
      </c>
    </row>
    <row r="25" spans="1:11" x14ac:dyDescent="0.2">
      <c r="A25" s="2" t="s">
        <v>59</v>
      </c>
      <c r="B25" s="6">
        <f>(I25+J25)/5</f>
        <v>0.8</v>
      </c>
      <c r="C25" s="3" t="s">
        <v>60</v>
      </c>
      <c r="D25" s="4" t="s">
        <v>12</v>
      </c>
      <c r="E25" s="5" t="s">
        <v>13</v>
      </c>
      <c r="F25" s="4" t="s">
        <v>12</v>
      </c>
      <c r="G25" s="4" t="s">
        <v>12</v>
      </c>
      <c r="H25" s="4" t="s">
        <v>12</v>
      </c>
      <c r="I25" s="3">
        <f t="shared" si="0"/>
        <v>4</v>
      </c>
      <c r="J25" s="3">
        <f t="shared" si="1"/>
        <v>0</v>
      </c>
      <c r="K25" s="3">
        <f t="shared" si="2"/>
        <v>1</v>
      </c>
    </row>
    <row r="26" spans="1:11" x14ac:dyDescent="0.2">
      <c r="A26" s="2" t="s">
        <v>61</v>
      </c>
      <c r="B26" s="6">
        <f>(I26+J26)/5</f>
        <v>1</v>
      </c>
      <c r="C26" s="3" t="s">
        <v>62</v>
      </c>
      <c r="D26" s="4" t="s">
        <v>12</v>
      </c>
      <c r="E26" s="4" t="s">
        <v>12</v>
      </c>
      <c r="F26" s="4" t="s">
        <v>12</v>
      </c>
      <c r="G26" s="4" t="s">
        <v>12</v>
      </c>
      <c r="H26" s="4" t="s">
        <v>12</v>
      </c>
      <c r="I26" s="3">
        <f t="shared" si="0"/>
        <v>5</v>
      </c>
      <c r="J26" s="3">
        <f t="shared" si="1"/>
        <v>0</v>
      </c>
      <c r="K26" s="3">
        <f t="shared" si="2"/>
        <v>0</v>
      </c>
    </row>
    <row r="27" spans="1:11" x14ac:dyDescent="0.2">
      <c r="A27" s="2" t="s">
        <v>63</v>
      </c>
      <c r="B27" s="6">
        <f>(I27+J27)/5</f>
        <v>1</v>
      </c>
      <c r="C27" s="3" t="s">
        <v>64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3">
        <f t="shared" si="0"/>
        <v>5</v>
      </c>
      <c r="J27" s="3">
        <f t="shared" si="1"/>
        <v>0</v>
      </c>
      <c r="K27" s="3">
        <f t="shared" si="2"/>
        <v>0</v>
      </c>
    </row>
    <row r="28" spans="1:11" x14ac:dyDescent="0.2">
      <c r="A28" s="2" t="s">
        <v>65</v>
      </c>
      <c r="B28" s="6">
        <f>(I28+J28)/5</f>
        <v>0.6</v>
      </c>
      <c r="C28" s="3" t="s">
        <v>66</v>
      </c>
      <c r="D28" s="4" t="s">
        <v>12</v>
      </c>
      <c r="E28" s="5" t="s">
        <v>13</v>
      </c>
      <c r="F28" s="4" t="s">
        <v>12</v>
      </c>
      <c r="G28" s="5" t="s">
        <v>13</v>
      </c>
      <c r="H28" s="4" t="s">
        <v>12</v>
      </c>
      <c r="I28" s="3">
        <f t="shared" si="0"/>
        <v>3</v>
      </c>
      <c r="J28" s="3">
        <f t="shared" si="1"/>
        <v>0</v>
      </c>
      <c r="K28" s="3">
        <f t="shared" si="2"/>
        <v>2</v>
      </c>
    </row>
    <row r="29" spans="1:11" x14ac:dyDescent="0.2">
      <c r="A29" s="2" t="s">
        <v>67</v>
      </c>
      <c r="B29" s="6">
        <f>(I29+J29)/5</f>
        <v>0.6</v>
      </c>
      <c r="C29" s="3" t="s">
        <v>68</v>
      </c>
      <c r="D29" s="4" t="s">
        <v>12</v>
      </c>
      <c r="E29" s="5" t="s">
        <v>13</v>
      </c>
      <c r="F29" s="5" t="s">
        <v>13</v>
      </c>
      <c r="G29" s="4" t="s">
        <v>12</v>
      </c>
      <c r="H29" s="4" t="s">
        <v>12</v>
      </c>
      <c r="I29" s="3">
        <f t="shared" si="0"/>
        <v>3</v>
      </c>
      <c r="J29" s="3">
        <f t="shared" si="1"/>
        <v>0</v>
      </c>
      <c r="K29" s="3">
        <f t="shared" si="2"/>
        <v>2</v>
      </c>
    </row>
    <row r="30" spans="1:11" x14ac:dyDescent="0.2">
      <c r="A30" s="8" t="s">
        <v>69</v>
      </c>
      <c r="D30" s="9">
        <f>COUNTIF(D2:D29,"P")</f>
        <v>19</v>
      </c>
      <c r="E30" s="9">
        <f>COUNTIF(E2:E29,"P")</f>
        <v>23</v>
      </c>
      <c r="F30" s="9">
        <f>COUNTIF(F2:F29,"P")</f>
        <v>22</v>
      </c>
      <c r="G30" s="9">
        <f>COUNTIF(G2:G29,"P")</f>
        <v>22</v>
      </c>
      <c r="H30" s="9">
        <f>COUNTIF(H2:H29,"P")</f>
        <v>23</v>
      </c>
    </row>
    <row r="32" spans="1:11" x14ac:dyDescent="0.2">
      <c r="A32" s="8" t="s">
        <v>70</v>
      </c>
    </row>
    <row r="33" spans="1:1" x14ac:dyDescent="0.2">
      <c r="A33" s="10" t="s">
        <v>71</v>
      </c>
    </row>
    <row r="34" spans="1:1" x14ac:dyDescent="0.2">
      <c r="A34" s="11" t="s">
        <v>72</v>
      </c>
    </row>
    <row r="35" spans="1:1" x14ac:dyDescent="0.2">
      <c r="A35" s="12" t="s">
        <v>73</v>
      </c>
    </row>
    <row r="36" spans="1:1" x14ac:dyDescent="0.2">
      <c r="A36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Ray</cp:lastModifiedBy>
  <dcterms:created xsi:type="dcterms:W3CDTF">2026-03-16T23:03:51Z</dcterms:created>
  <dcterms:modified xsi:type="dcterms:W3CDTF">2026-03-19T17:18:09Z</dcterms:modified>
</cp:coreProperties>
</file>