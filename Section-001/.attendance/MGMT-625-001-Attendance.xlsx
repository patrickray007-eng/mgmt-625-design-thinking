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ttendan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color rgb="00006100"/>
    </font>
    <font>
      <color rgb="009C0006"/>
    </font>
    <font>
      <b val="1"/>
    </font>
    <font>
      <color rgb="004472C4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0" pivotButton="0" quotePrefix="0" xfId="0"/>
    <xf numFmtId="0" fontId="5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8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9" customWidth="1" min="8" max="8"/>
    <col width="9" customWidth="1" min="9" max="9"/>
    <col width="9" customWidth="1" min="10" max="10"/>
    <col width="20" customWidth="1" min="11" max="11"/>
  </cols>
  <sheetData>
    <row r="1">
      <c r="A1" s="1" t="inlineStr">
        <is>
          <t>Name</t>
        </is>
      </c>
      <c r="B1" s="1" t="inlineStr">
        <is>
          <t>NetID</t>
        </is>
      </c>
      <c r="C1" s="1" t="inlineStr">
        <is>
          <t>2/16</t>
        </is>
      </c>
      <c r="D1" s="1" t="inlineStr">
        <is>
          <t>2/18</t>
        </is>
      </c>
      <c r="E1" s="1" t="inlineStr">
        <is>
          <t>2/23</t>
        </is>
      </c>
      <c r="F1" s="1" t="inlineStr">
        <is>
          <t>2/25</t>
        </is>
      </c>
      <c r="G1" s="1" t="inlineStr">
        <is>
          <t>3/2</t>
        </is>
      </c>
      <c r="H1" s="1" t="inlineStr">
        <is>
          <t>Present</t>
        </is>
      </c>
      <c r="I1" s="1" t="inlineStr">
        <is>
          <t>Excused</t>
        </is>
      </c>
      <c r="J1" s="1" t="inlineStr">
        <is>
          <t>Absent</t>
        </is>
      </c>
      <c r="K1" s="1" t="inlineStr">
        <is>
          <t>% On-Time/Present</t>
        </is>
      </c>
    </row>
    <row r="2">
      <c r="A2" s="2" t="inlineStr">
        <is>
          <t>Madhulika Annam</t>
        </is>
      </c>
      <c r="B2" s="3" t="inlineStr">
        <is>
          <t>ma220</t>
        </is>
      </c>
      <c r="C2" s="4" t="inlineStr">
        <is>
          <t>P</t>
        </is>
      </c>
      <c r="D2" s="4" t="inlineStr">
        <is>
          <t>P</t>
        </is>
      </c>
      <c r="E2" s="4" t="inlineStr">
        <is>
          <t>P</t>
        </is>
      </c>
      <c r="F2" s="5" t="inlineStr">
        <is>
          <t>A</t>
        </is>
      </c>
      <c r="G2" s="4" t="inlineStr">
        <is>
          <t>P</t>
        </is>
      </c>
      <c r="H2" s="3">
        <f>COUNTIF(C2:G2,"P")</f>
        <v/>
      </c>
      <c r="I2" s="3">
        <f>COUNTIF(C2:G2,"E")</f>
        <v/>
      </c>
      <c r="J2" s="3">
        <f>COUNTIF(C2:G2,"A")</f>
        <v/>
      </c>
      <c r="K2" s="6">
        <f>(H2+I2)/5</f>
        <v/>
      </c>
    </row>
    <row r="3">
      <c r="A3" s="2" t="inlineStr">
        <is>
          <t>Henry Awaka</t>
        </is>
      </c>
      <c r="B3" s="3" t="inlineStr">
        <is>
          <t>ha61</t>
        </is>
      </c>
      <c r="C3" s="4" t="inlineStr">
        <is>
          <t>P</t>
        </is>
      </c>
      <c r="D3" s="4" t="inlineStr">
        <is>
          <t>P</t>
        </is>
      </c>
      <c r="E3" s="4" t="inlineStr">
        <is>
          <t>P</t>
        </is>
      </c>
      <c r="F3" s="4" t="inlineStr">
        <is>
          <t>P</t>
        </is>
      </c>
      <c r="G3" s="4" t="inlineStr">
        <is>
          <t>P</t>
        </is>
      </c>
      <c r="H3" s="3">
        <f>COUNTIF(C3:G3,"P")</f>
        <v/>
      </c>
      <c r="I3" s="3">
        <f>COUNTIF(C3:G3,"E")</f>
        <v/>
      </c>
      <c r="J3" s="3">
        <f>COUNTIF(C3:G3,"A")</f>
        <v/>
      </c>
      <c r="K3" s="6">
        <f>(H3+I3)/5</f>
        <v/>
      </c>
    </row>
    <row r="4">
      <c r="A4" s="2" t="inlineStr">
        <is>
          <t>Justin Bui</t>
        </is>
      </c>
      <c r="B4" s="3" t="inlineStr">
        <is>
          <t>jb318</t>
        </is>
      </c>
      <c r="C4" s="5" t="inlineStr">
        <is>
          <t>A</t>
        </is>
      </c>
      <c r="D4" s="4" t="inlineStr">
        <is>
          <t>P</t>
        </is>
      </c>
      <c r="E4" s="4" t="inlineStr">
        <is>
          <t>P</t>
        </is>
      </c>
      <c r="F4" s="4" t="inlineStr">
        <is>
          <t>P</t>
        </is>
      </c>
      <c r="G4" s="4" t="inlineStr">
        <is>
          <t>P</t>
        </is>
      </c>
      <c r="H4" s="3">
        <f>COUNTIF(C4:G4,"P")</f>
        <v/>
      </c>
      <c r="I4" s="3">
        <f>COUNTIF(C4:G4,"E")</f>
        <v/>
      </c>
      <c r="J4" s="3">
        <f>COUNTIF(C4:G4,"A")</f>
        <v/>
      </c>
      <c r="K4" s="6">
        <f>(H4+I4)/5</f>
        <v/>
      </c>
    </row>
    <row r="5">
      <c r="A5" s="2" t="inlineStr">
        <is>
          <t>Zeynep Civelek</t>
        </is>
      </c>
      <c r="B5" s="3" t="inlineStr">
        <is>
          <t>zc66</t>
        </is>
      </c>
      <c r="C5" s="4" t="inlineStr">
        <is>
          <t>P</t>
        </is>
      </c>
      <c r="D5" s="4" t="inlineStr">
        <is>
          <t>P</t>
        </is>
      </c>
      <c r="E5" s="4" t="inlineStr">
        <is>
          <t>P</t>
        </is>
      </c>
      <c r="F5" s="4" t="inlineStr">
        <is>
          <t>P</t>
        </is>
      </c>
      <c r="G5" s="4" t="inlineStr">
        <is>
          <t>P</t>
        </is>
      </c>
      <c r="H5" s="3">
        <f>COUNTIF(C5:G5,"P")</f>
        <v/>
      </c>
      <c r="I5" s="3">
        <f>COUNTIF(C5:G5,"E")</f>
        <v/>
      </c>
      <c r="J5" s="3">
        <f>COUNTIF(C5:G5,"A")</f>
        <v/>
      </c>
      <c r="K5" s="6">
        <f>(H5+I5)/5</f>
        <v/>
      </c>
    </row>
    <row r="6">
      <c r="A6" s="2" t="inlineStr">
        <is>
          <t>Dimple Dedhia</t>
        </is>
      </c>
      <c r="B6" s="3" t="inlineStr">
        <is>
          <t>dd88</t>
        </is>
      </c>
      <c r="C6" s="5" t="inlineStr">
        <is>
          <t>A</t>
        </is>
      </c>
      <c r="D6" s="4" t="inlineStr">
        <is>
          <t>P</t>
        </is>
      </c>
      <c r="E6" s="4" t="inlineStr">
        <is>
          <t>P</t>
        </is>
      </c>
      <c r="F6" s="4" t="inlineStr">
        <is>
          <t>P</t>
        </is>
      </c>
      <c r="G6" s="4" t="inlineStr">
        <is>
          <t>P</t>
        </is>
      </c>
      <c r="H6" s="3">
        <f>COUNTIF(C6:G6,"P")</f>
        <v/>
      </c>
      <c r="I6" s="3">
        <f>COUNTIF(C6:G6,"E")</f>
        <v/>
      </c>
      <c r="J6" s="3">
        <f>COUNTIF(C6:G6,"A")</f>
        <v/>
      </c>
      <c r="K6" s="6">
        <f>(H6+I6)/5</f>
        <v/>
      </c>
    </row>
    <row r="7">
      <c r="A7" s="2" t="inlineStr">
        <is>
          <t>Hansi Deshapriya</t>
        </is>
      </c>
      <c r="B7" s="3" t="inlineStr">
        <is>
          <t>hd61</t>
        </is>
      </c>
      <c r="C7" s="4" t="inlineStr">
        <is>
          <t>P</t>
        </is>
      </c>
      <c r="D7" s="4" t="inlineStr">
        <is>
          <t>P</t>
        </is>
      </c>
      <c r="E7" s="4" t="inlineStr">
        <is>
          <t>P</t>
        </is>
      </c>
      <c r="F7" s="4" t="inlineStr">
        <is>
          <t>P</t>
        </is>
      </c>
      <c r="G7" s="4" t="inlineStr">
        <is>
          <t>P</t>
        </is>
      </c>
      <c r="H7" s="3">
        <f>COUNTIF(C7:G7,"P")</f>
        <v/>
      </c>
      <c r="I7" s="3">
        <f>COUNTIF(C7:G7,"E")</f>
        <v/>
      </c>
      <c r="J7" s="3">
        <f>COUNTIF(C7:G7,"A")</f>
        <v/>
      </c>
      <c r="K7" s="6">
        <f>(H7+I7)/5</f>
        <v/>
      </c>
    </row>
    <row r="8">
      <c r="A8" s="2" t="inlineStr">
        <is>
          <t>Sierra Fredenrich</t>
        </is>
      </c>
      <c r="B8" s="3" t="inlineStr">
        <is>
          <t>sf77</t>
        </is>
      </c>
      <c r="C8" s="5" t="inlineStr">
        <is>
          <t>A</t>
        </is>
      </c>
      <c r="D8" s="5" t="inlineStr">
        <is>
          <t>A</t>
        </is>
      </c>
      <c r="E8" s="4" t="inlineStr">
        <is>
          <t>P</t>
        </is>
      </c>
      <c r="F8" s="4" t="inlineStr">
        <is>
          <t>P</t>
        </is>
      </c>
      <c r="G8" s="4" t="inlineStr">
        <is>
          <t>P</t>
        </is>
      </c>
      <c r="H8" s="3">
        <f>COUNTIF(C8:G8,"P")</f>
        <v/>
      </c>
      <c r="I8" s="3">
        <f>COUNTIF(C8:G8,"E")</f>
        <v/>
      </c>
      <c r="J8" s="3">
        <f>COUNTIF(C8:G8,"A")</f>
        <v/>
      </c>
      <c r="K8" s="6">
        <f>(H8+I8)/5</f>
        <v/>
      </c>
    </row>
    <row r="9">
      <c r="A9" s="2" t="inlineStr">
        <is>
          <t>Lipi Gandhi</t>
        </is>
      </c>
      <c r="B9" s="3" t="inlineStr">
        <is>
          <t>lg76</t>
        </is>
      </c>
      <c r="C9" s="4" t="inlineStr">
        <is>
          <t>P</t>
        </is>
      </c>
      <c r="D9" s="4" t="inlineStr">
        <is>
          <t>P</t>
        </is>
      </c>
      <c r="E9" s="7" t="inlineStr">
        <is>
          <t>E</t>
        </is>
      </c>
      <c r="F9" s="7" t="inlineStr">
        <is>
          <t>E</t>
        </is>
      </c>
      <c r="G9" s="5" t="inlineStr">
        <is>
          <t>A</t>
        </is>
      </c>
      <c r="H9" s="3">
        <f>COUNTIF(C9:G9,"P")</f>
        <v/>
      </c>
      <c r="I9" s="3">
        <f>COUNTIF(C9:G9,"E")</f>
        <v/>
      </c>
      <c r="J9" s="3">
        <f>COUNTIF(C9:G9,"A")</f>
        <v/>
      </c>
      <c r="K9" s="6">
        <f>(H9+I9)/5</f>
        <v/>
      </c>
    </row>
    <row r="10">
      <c r="A10" s="2" t="inlineStr">
        <is>
          <t>Tushar Goel</t>
        </is>
      </c>
      <c r="B10" s="3" t="inlineStr">
        <is>
          <t>tg50</t>
        </is>
      </c>
      <c r="C10" s="5" t="inlineStr">
        <is>
          <t>A</t>
        </is>
      </c>
      <c r="D10" s="4" t="inlineStr">
        <is>
          <t>P</t>
        </is>
      </c>
      <c r="E10" s="4" t="inlineStr">
        <is>
          <t>P</t>
        </is>
      </c>
      <c r="F10" s="4" t="inlineStr">
        <is>
          <t>P</t>
        </is>
      </c>
      <c r="G10" s="4" t="inlineStr">
        <is>
          <t>P</t>
        </is>
      </c>
      <c r="H10" s="3">
        <f>COUNTIF(C10:G10,"P")</f>
        <v/>
      </c>
      <c r="I10" s="3">
        <f>COUNTIF(C10:G10,"E")</f>
        <v/>
      </c>
      <c r="J10" s="3">
        <f>COUNTIF(C10:G10,"A")</f>
        <v/>
      </c>
      <c r="K10" s="6">
        <f>(H10+I10)/5</f>
        <v/>
      </c>
    </row>
    <row r="11">
      <c r="A11" s="2" t="inlineStr">
        <is>
          <t>Tatania Gosien</t>
        </is>
      </c>
      <c r="B11" s="3" t="inlineStr">
        <is>
          <t>tg53</t>
        </is>
      </c>
      <c r="C11" s="4" t="inlineStr">
        <is>
          <t>P</t>
        </is>
      </c>
      <c r="D11" s="4" t="inlineStr">
        <is>
          <t>P</t>
        </is>
      </c>
      <c r="E11" s="4" t="inlineStr">
        <is>
          <t>P</t>
        </is>
      </c>
      <c r="F11" s="4" t="inlineStr">
        <is>
          <t>P</t>
        </is>
      </c>
      <c r="G11" s="4" t="inlineStr">
        <is>
          <t>P</t>
        </is>
      </c>
      <c r="H11" s="3">
        <f>COUNTIF(C11:G11,"P")</f>
        <v/>
      </c>
      <c r="I11" s="3">
        <f>COUNTIF(C11:G11,"E")</f>
        <v/>
      </c>
      <c r="J11" s="3">
        <f>COUNTIF(C11:G11,"A")</f>
        <v/>
      </c>
      <c r="K11" s="6">
        <f>(H11+I11)/5</f>
        <v/>
      </c>
    </row>
    <row r="12">
      <c r="A12" s="2" t="inlineStr">
        <is>
          <t>Giovanna Hughes</t>
        </is>
      </c>
      <c r="B12" s="3" t="inlineStr">
        <is>
          <t>jh301</t>
        </is>
      </c>
      <c r="C12" s="4" t="inlineStr">
        <is>
          <t>P</t>
        </is>
      </c>
      <c r="D12" s="4" t="inlineStr">
        <is>
          <t>P</t>
        </is>
      </c>
      <c r="E12" s="4" t="inlineStr">
        <is>
          <t>P</t>
        </is>
      </c>
      <c r="F12" s="5" t="inlineStr">
        <is>
          <t>A</t>
        </is>
      </c>
      <c r="G12" s="4" t="inlineStr">
        <is>
          <t>P</t>
        </is>
      </c>
      <c r="H12" s="3">
        <f>COUNTIF(C12:G12,"P")</f>
        <v/>
      </c>
      <c r="I12" s="3">
        <f>COUNTIF(C12:G12,"E")</f>
        <v/>
      </c>
      <c r="J12" s="3">
        <f>COUNTIF(C12:G12,"A")</f>
        <v/>
      </c>
      <c r="K12" s="6">
        <f>(H12+I12)/5</f>
        <v/>
      </c>
    </row>
    <row r="13">
      <c r="A13" s="2" t="inlineStr">
        <is>
          <t>Felix Joseph</t>
        </is>
      </c>
      <c r="B13" s="3" t="inlineStr">
        <is>
          <t>fj10</t>
        </is>
      </c>
      <c r="C13" s="4" t="inlineStr">
        <is>
          <t>P</t>
        </is>
      </c>
      <c r="D13" s="4" t="inlineStr">
        <is>
          <t>P</t>
        </is>
      </c>
      <c r="E13" s="5" t="inlineStr">
        <is>
          <t>A</t>
        </is>
      </c>
      <c r="F13" s="4" t="inlineStr">
        <is>
          <t>P</t>
        </is>
      </c>
      <c r="G13" s="4" t="inlineStr">
        <is>
          <t>P</t>
        </is>
      </c>
      <c r="H13" s="3">
        <f>COUNTIF(C13:G13,"P")</f>
        <v/>
      </c>
      <c r="I13" s="3">
        <f>COUNTIF(C13:G13,"E")</f>
        <v/>
      </c>
      <c r="J13" s="3">
        <f>COUNTIF(C13:G13,"A")</f>
        <v/>
      </c>
      <c r="K13" s="6">
        <f>(H13+I13)/5</f>
        <v/>
      </c>
    </row>
    <row r="14">
      <c r="A14" s="2" t="inlineStr">
        <is>
          <t>Stacy Kiernan</t>
        </is>
      </c>
      <c r="B14" s="3" t="inlineStr">
        <is>
          <t>sk315</t>
        </is>
      </c>
      <c r="C14" s="4" t="inlineStr">
        <is>
          <t>P</t>
        </is>
      </c>
      <c r="D14" s="4" t="inlineStr">
        <is>
          <t>P</t>
        </is>
      </c>
      <c r="E14" s="4" t="inlineStr">
        <is>
          <t>P</t>
        </is>
      </c>
      <c r="F14" s="4" t="inlineStr">
        <is>
          <t>P</t>
        </is>
      </c>
      <c r="G14" s="4" t="inlineStr">
        <is>
          <t>P</t>
        </is>
      </c>
      <c r="H14" s="3">
        <f>COUNTIF(C14:G14,"P")</f>
        <v/>
      </c>
      <c r="I14" s="3">
        <f>COUNTIF(C14:G14,"E")</f>
        <v/>
      </c>
      <c r="J14" s="3">
        <f>COUNTIF(C14:G14,"A")</f>
        <v/>
      </c>
      <c r="K14" s="6">
        <f>(H14+I14)/5</f>
        <v/>
      </c>
    </row>
    <row r="15">
      <c r="A15" s="2" t="inlineStr">
        <is>
          <t>Asad Lalani</t>
        </is>
      </c>
      <c r="B15" s="3" t="inlineStr">
        <is>
          <t>anl4</t>
        </is>
      </c>
      <c r="C15" s="7" t="inlineStr">
        <is>
          <t>E</t>
        </is>
      </c>
      <c r="D15" s="4" t="inlineStr">
        <is>
          <t>P</t>
        </is>
      </c>
      <c r="E15" s="4" t="inlineStr">
        <is>
          <t>P</t>
        </is>
      </c>
      <c r="F15" s="4" t="inlineStr">
        <is>
          <t>P</t>
        </is>
      </c>
      <c r="G15" s="4" t="inlineStr">
        <is>
          <t>P</t>
        </is>
      </c>
      <c r="H15" s="3">
        <f>COUNTIF(C15:G15,"P")</f>
        <v/>
      </c>
      <c r="I15" s="3">
        <f>COUNTIF(C15:G15,"E")</f>
        <v/>
      </c>
      <c r="J15" s="3">
        <f>COUNTIF(C15:G15,"A")</f>
        <v/>
      </c>
      <c r="K15" s="6">
        <f>(H15+I15)/5</f>
        <v/>
      </c>
    </row>
    <row r="16">
      <c r="A16" s="2" t="inlineStr">
        <is>
          <t>Joseph Lewis</t>
        </is>
      </c>
      <c r="B16" s="3" t="inlineStr">
        <is>
          <t>jl578</t>
        </is>
      </c>
      <c r="C16" s="4" t="inlineStr">
        <is>
          <t>P</t>
        </is>
      </c>
      <c r="D16" s="4" t="inlineStr">
        <is>
          <t>P</t>
        </is>
      </c>
      <c r="E16" s="4" t="inlineStr">
        <is>
          <t>P</t>
        </is>
      </c>
      <c r="F16" s="5" t="inlineStr">
        <is>
          <t>A</t>
        </is>
      </c>
      <c r="G16" s="4" t="inlineStr">
        <is>
          <t>P</t>
        </is>
      </c>
      <c r="H16" s="3">
        <f>COUNTIF(C16:G16,"P")</f>
        <v/>
      </c>
      <c r="I16" s="3">
        <f>COUNTIF(C16:G16,"E")</f>
        <v/>
      </c>
      <c r="J16" s="3">
        <f>COUNTIF(C16:G16,"A")</f>
        <v/>
      </c>
      <c r="K16" s="6">
        <f>(H16+I16)/5</f>
        <v/>
      </c>
    </row>
    <row r="17">
      <c r="A17" s="2" t="inlineStr">
        <is>
          <t>Sylvia Liaw</t>
        </is>
      </c>
      <c r="B17" s="3" t="inlineStr">
        <is>
          <t>sl301</t>
        </is>
      </c>
      <c r="C17" s="4" t="inlineStr">
        <is>
          <t>P</t>
        </is>
      </c>
      <c r="D17" s="4" t="inlineStr">
        <is>
          <t>P</t>
        </is>
      </c>
      <c r="E17" s="4" t="inlineStr">
        <is>
          <t>P</t>
        </is>
      </c>
      <c r="F17" s="4" t="inlineStr">
        <is>
          <t>P</t>
        </is>
      </c>
      <c r="G17" s="4" t="inlineStr">
        <is>
          <t>P</t>
        </is>
      </c>
      <c r="H17" s="3">
        <f>COUNTIF(C17:G17,"P")</f>
        <v/>
      </c>
      <c r="I17" s="3">
        <f>COUNTIF(C17:G17,"E")</f>
        <v/>
      </c>
      <c r="J17" s="3">
        <f>COUNTIF(C17:G17,"A")</f>
        <v/>
      </c>
      <c r="K17" s="6">
        <f>(H17+I17)/5</f>
        <v/>
      </c>
    </row>
    <row r="18">
      <c r="A18" s="2" t="inlineStr">
        <is>
          <t>Olivia Loupe</t>
        </is>
      </c>
      <c r="B18" s="3" t="inlineStr">
        <is>
          <t>ol11</t>
        </is>
      </c>
      <c r="C18" s="4" t="inlineStr">
        <is>
          <t>P</t>
        </is>
      </c>
      <c r="D18" s="4" t="inlineStr">
        <is>
          <t>P</t>
        </is>
      </c>
      <c r="E18" s="7" t="inlineStr">
        <is>
          <t>E</t>
        </is>
      </c>
      <c r="F18" s="4" t="inlineStr">
        <is>
          <t>P</t>
        </is>
      </c>
      <c r="G18" s="4" t="inlineStr">
        <is>
          <t>P</t>
        </is>
      </c>
      <c r="H18" s="3">
        <f>COUNTIF(C18:G18,"P")</f>
        <v/>
      </c>
      <c r="I18" s="3">
        <f>COUNTIF(C18:G18,"E")</f>
        <v/>
      </c>
      <c r="J18" s="3">
        <f>COUNTIF(C18:G18,"A")</f>
        <v/>
      </c>
      <c r="K18" s="6">
        <f>(H18+I18)/5</f>
        <v/>
      </c>
    </row>
    <row r="19">
      <c r="A19" s="2" t="inlineStr">
        <is>
          <t>Abdul Rehman Mohammad Shahzad</t>
        </is>
      </c>
      <c r="B19" s="3" t="inlineStr">
        <is>
          <t>am352</t>
        </is>
      </c>
      <c r="C19" s="7" t="inlineStr">
        <is>
          <t>E</t>
        </is>
      </c>
      <c r="D19" s="4" t="inlineStr">
        <is>
          <t>P</t>
        </is>
      </c>
      <c r="E19" s="4" t="inlineStr">
        <is>
          <t>P</t>
        </is>
      </c>
      <c r="F19" s="5" t="inlineStr">
        <is>
          <t>A</t>
        </is>
      </c>
      <c r="G19" s="5" t="inlineStr">
        <is>
          <t>A</t>
        </is>
      </c>
      <c r="H19" s="3">
        <f>COUNTIF(C19:G19,"P")</f>
        <v/>
      </c>
      <c r="I19" s="3">
        <f>COUNTIF(C19:G19,"E")</f>
        <v/>
      </c>
      <c r="J19" s="3">
        <f>COUNTIF(C19:G19,"A")</f>
        <v/>
      </c>
      <c r="K19" s="6">
        <f>(H19+I19)/5</f>
        <v/>
      </c>
    </row>
    <row r="20">
      <c r="A20" s="2" t="inlineStr">
        <is>
          <t>Mugdha Nanduri</t>
        </is>
      </c>
      <c r="B20" s="3" t="inlineStr">
        <is>
          <t>mg218</t>
        </is>
      </c>
      <c r="C20" s="5" t="inlineStr">
        <is>
          <t>A</t>
        </is>
      </c>
      <c r="D20" s="4" t="inlineStr">
        <is>
          <t>P</t>
        </is>
      </c>
      <c r="E20" s="4" t="inlineStr">
        <is>
          <t>P</t>
        </is>
      </c>
      <c r="F20" s="4" t="inlineStr">
        <is>
          <t>P</t>
        </is>
      </c>
      <c r="G20" s="5" t="inlineStr">
        <is>
          <t>A</t>
        </is>
      </c>
      <c r="H20" s="3">
        <f>COUNTIF(C20:G20,"P")</f>
        <v/>
      </c>
      <c r="I20" s="3">
        <f>COUNTIF(C20:G20,"E")</f>
        <v/>
      </c>
      <c r="J20" s="3">
        <f>COUNTIF(C20:G20,"A")</f>
        <v/>
      </c>
      <c r="K20" s="6">
        <f>(H20+I20)/5</f>
        <v/>
      </c>
    </row>
    <row r="21">
      <c r="A21" s="2" t="inlineStr">
        <is>
          <t>Zwee Nguyen</t>
        </is>
      </c>
      <c r="B21" s="3" t="inlineStr">
        <is>
          <t>zn10</t>
        </is>
      </c>
      <c r="C21" s="4" t="inlineStr">
        <is>
          <t>P</t>
        </is>
      </c>
      <c r="D21" s="4" t="inlineStr">
        <is>
          <t>P</t>
        </is>
      </c>
      <c r="E21" s="5" t="inlineStr">
        <is>
          <t>A</t>
        </is>
      </c>
      <c r="F21" s="4" t="inlineStr">
        <is>
          <t>P</t>
        </is>
      </c>
      <c r="G21" s="4" t="inlineStr">
        <is>
          <t>P</t>
        </is>
      </c>
      <c r="H21" s="3">
        <f>COUNTIF(C21:G21,"P")</f>
        <v/>
      </c>
      <c r="I21" s="3">
        <f>COUNTIF(C21:G21,"E")</f>
        <v/>
      </c>
      <c r="J21" s="3">
        <f>COUNTIF(C21:G21,"A")</f>
        <v/>
      </c>
      <c r="K21" s="6">
        <f>(H21+I21)/5</f>
        <v/>
      </c>
    </row>
    <row r="22">
      <c r="A22" s="2" t="inlineStr">
        <is>
          <t>Ben Omonira</t>
        </is>
      </c>
      <c r="B22" s="3" t="inlineStr">
        <is>
          <t>bo20</t>
        </is>
      </c>
      <c r="C22" s="5" t="inlineStr">
        <is>
          <t>A</t>
        </is>
      </c>
      <c r="D22" s="4" t="inlineStr">
        <is>
          <t>P</t>
        </is>
      </c>
      <c r="E22" s="4" t="inlineStr">
        <is>
          <t>P</t>
        </is>
      </c>
      <c r="F22" s="4" t="inlineStr">
        <is>
          <t>P</t>
        </is>
      </c>
      <c r="G22" s="4" t="inlineStr">
        <is>
          <t>P</t>
        </is>
      </c>
      <c r="H22" s="3">
        <f>COUNTIF(C22:G22,"P")</f>
        <v/>
      </c>
      <c r="I22" s="3">
        <f>COUNTIF(C22:G22,"E")</f>
        <v/>
      </c>
      <c r="J22" s="3">
        <f>COUNTIF(C22:G22,"A")</f>
        <v/>
      </c>
      <c r="K22" s="6">
        <f>(H22+I22)/5</f>
        <v/>
      </c>
    </row>
    <row r="23">
      <c r="A23" s="2" t="inlineStr">
        <is>
          <t>Victory Onyekwere</t>
        </is>
      </c>
      <c r="B23" s="3" t="inlineStr">
        <is>
          <t>vo20</t>
        </is>
      </c>
      <c r="C23" s="5" t="inlineStr">
        <is>
          <t>A</t>
        </is>
      </c>
      <c r="D23" s="5" t="inlineStr">
        <is>
          <t>A</t>
        </is>
      </c>
      <c r="E23" s="7" t="inlineStr">
        <is>
          <t>E</t>
        </is>
      </c>
      <c r="F23" s="4" t="inlineStr">
        <is>
          <t>P</t>
        </is>
      </c>
      <c r="G23" s="5" t="inlineStr">
        <is>
          <t>A</t>
        </is>
      </c>
      <c r="H23" s="3">
        <f>COUNTIF(C23:G23,"P")</f>
        <v/>
      </c>
      <c r="I23" s="3">
        <f>COUNTIF(C23:G23,"E")</f>
        <v/>
      </c>
      <c r="J23" s="3">
        <f>COUNTIF(C23:G23,"A")</f>
        <v/>
      </c>
      <c r="K23" s="6">
        <f>(H23+I23)/5</f>
        <v/>
      </c>
    </row>
    <row r="24">
      <c r="A24" s="2" t="inlineStr">
        <is>
          <t>Joy Payne</t>
        </is>
      </c>
      <c r="B24" s="3" t="inlineStr">
        <is>
          <t>jp162</t>
        </is>
      </c>
      <c r="C24" s="4" t="inlineStr">
        <is>
          <t>P</t>
        </is>
      </c>
      <c r="D24" s="4" t="inlineStr">
        <is>
          <t>P</t>
        </is>
      </c>
      <c r="E24" s="4" t="inlineStr">
        <is>
          <t>P</t>
        </is>
      </c>
      <c r="F24" s="4" t="inlineStr">
        <is>
          <t>P</t>
        </is>
      </c>
      <c r="G24" s="7" t="inlineStr">
        <is>
          <t>E</t>
        </is>
      </c>
      <c r="H24" s="3">
        <f>COUNTIF(C24:G24,"P")</f>
        <v/>
      </c>
      <c r="I24" s="3">
        <f>COUNTIF(C24:G24,"E")</f>
        <v/>
      </c>
      <c r="J24" s="3">
        <f>COUNTIF(C24:G24,"A")</f>
        <v/>
      </c>
      <c r="K24" s="6">
        <f>(H24+I24)/5</f>
        <v/>
      </c>
    </row>
    <row r="25">
      <c r="A25" s="2" t="inlineStr">
        <is>
          <t>Max David Robert</t>
        </is>
      </c>
      <c r="B25" s="3" t="inlineStr">
        <is>
          <t>mr203</t>
        </is>
      </c>
      <c r="C25" s="4" t="inlineStr">
        <is>
          <t>P</t>
        </is>
      </c>
      <c r="D25" s="5" t="inlineStr">
        <is>
          <t>A</t>
        </is>
      </c>
      <c r="E25" s="4" t="inlineStr">
        <is>
          <t>P</t>
        </is>
      </c>
      <c r="F25" s="4" t="inlineStr">
        <is>
          <t>P</t>
        </is>
      </c>
      <c r="G25" s="4" t="inlineStr">
        <is>
          <t>P</t>
        </is>
      </c>
      <c r="H25" s="3">
        <f>COUNTIF(C25:G25,"P")</f>
        <v/>
      </c>
      <c r="I25" s="3">
        <f>COUNTIF(C25:G25,"E")</f>
        <v/>
      </c>
      <c r="J25" s="3">
        <f>COUNTIF(C25:G25,"A")</f>
        <v/>
      </c>
      <c r="K25" s="6">
        <f>(H25+I25)/5</f>
        <v/>
      </c>
    </row>
    <row r="26">
      <c r="A26" s="2" t="inlineStr">
        <is>
          <t>Tanyali Rondon</t>
        </is>
      </c>
      <c r="B26" s="3" t="inlineStr">
        <is>
          <t>tr62</t>
        </is>
      </c>
      <c r="C26" s="4" t="inlineStr">
        <is>
          <t>P</t>
        </is>
      </c>
      <c r="D26" s="4" t="inlineStr">
        <is>
          <t>P</t>
        </is>
      </c>
      <c r="E26" s="4" t="inlineStr">
        <is>
          <t>P</t>
        </is>
      </c>
      <c r="F26" s="4" t="inlineStr">
        <is>
          <t>P</t>
        </is>
      </c>
      <c r="G26" s="4" t="inlineStr">
        <is>
          <t>P</t>
        </is>
      </c>
      <c r="H26" s="3">
        <f>COUNTIF(C26:G26,"P")</f>
        <v/>
      </c>
      <c r="I26" s="3">
        <f>COUNTIF(C26:G26,"E")</f>
        <v/>
      </c>
      <c r="J26" s="3">
        <f>COUNTIF(C26:G26,"A")</f>
        <v/>
      </c>
      <c r="K26" s="6">
        <f>(H26+I26)/5</f>
        <v/>
      </c>
    </row>
    <row r="27">
      <c r="A27" s="2" t="inlineStr">
        <is>
          <t>Rishi Sohoni</t>
        </is>
      </c>
      <c r="B27" s="3" t="inlineStr">
        <is>
          <t>rs237</t>
        </is>
      </c>
      <c r="C27" s="4" t="inlineStr">
        <is>
          <t>P</t>
        </is>
      </c>
      <c r="D27" s="4" t="inlineStr">
        <is>
          <t>P</t>
        </is>
      </c>
      <c r="E27" s="4" t="inlineStr">
        <is>
          <t>P</t>
        </is>
      </c>
      <c r="F27" s="4" t="inlineStr">
        <is>
          <t>P</t>
        </is>
      </c>
      <c r="G27" s="4" t="inlineStr">
        <is>
          <t>P</t>
        </is>
      </c>
      <c r="H27" s="3">
        <f>COUNTIF(C27:G27,"P")</f>
        <v/>
      </c>
      <c r="I27" s="3">
        <f>COUNTIF(C27:G27,"E")</f>
        <v/>
      </c>
      <c r="J27" s="3">
        <f>COUNTIF(C27:G27,"A")</f>
        <v/>
      </c>
      <c r="K27" s="6">
        <f>(H27+I27)/5</f>
        <v/>
      </c>
    </row>
    <row r="28">
      <c r="A28" s="2" t="inlineStr">
        <is>
          <t>Dyan Utami</t>
        </is>
      </c>
      <c r="B28" s="3" t="inlineStr">
        <is>
          <t>du7</t>
        </is>
      </c>
      <c r="C28" s="4" t="inlineStr">
        <is>
          <t>P</t>
        </is>
      </c>
      <c r="D28" s="5" t="inlineStr">
        <is>
          <t>A</t>
        </is>
      </c>
      <c r="E28" s="4" t="inlineStr">
        <is>
          <t>P</t>
        </is>
      </c>
      <c r="F28" s="5" t="inlineStr">
        <is>
          <t>A</t>
        </is>
      </c>
      <c r="G28" s="4" t="inlineStr">
        <is>
          <t>P</t>
        </is>
      </c>
      <c r="H28" s="3">
        <f>COUNTIF(C28:G28,"P")</f>
        <v/>
      </c>
      <c r="I28" s="3">
        <f>COUNTIF(C28:G28,"E")</f>
        <v/>
      </c>
      <c r="J28" s="3">
        <f>COUNTIF(C28:G28,"A")</f>
        <v/>
      </c>
      <c r="K28" s="6">
        <f>(H28+I28)/5</f>
        <v/>
      </c>
    </row>
    <row r="29">
      <c r="A29" s="2" t="inlineStr">
        <is>
          <t>Mayur Vashishth</t>
        </is>
      </c>
      <c r="B29" s="3" t="inlineStr">
        <is>
          <t>mv73</t>
        </is>
      </c>
      <c r="C29" s="4" t="inlineStr">
        <is>
          <t>P</t>
        </is>
      </c>
      <c r="D29" s="5" t="inlineStr">
        <is>
          <t>A</t>
        </is>
      </c>
      <c r="E29" s="5" t="inlineStr">
        <is>
          <t>A</t>
        </is>
      </c>
      <c r="F29" s="4" t="inlineStr">
        <is>
          <t>P</t>
        </is>
      </c>
      <c r="G29" s="4" t="inlineStr">
        <is>
          <t>P</t>
        </is>
      </c>
      <c r="H29" s="3">
        <f>COUNTIF(C29:G29,"P")</f>
        <v/>
      </c>
      <c r="I29" s="3">
        <f>COUNTIF(C29:G29,"E")</f>
        <v/>
      </c>
      <c r="J29" s="3">
        <f>COUNTIF(C29:G29,"A")</f>
        <v/>
      </c>
      <c r="K29" s="6">
        <f>(H29+I29)/5</f>
        <v/>
      </c>
    </row>
    <row r="30">
      <c r="A30" s="8" t="inlineStr">
        <is>
          <t>TOTALS</t>
        </is>
      </c>
      <c r="C30" s="9">
        <f>COUNTIF(C2:C29,"P")</f>
        <v/>
      </c>
      <c r="D30" s="9">
        <f>COUNTIF(D2:D29,"P")</f>
        <v/>
      </c>
      <c r="E30" s="9">
        <f>COUNTIF(E2:E29,"P")</f>
        <v/>
      </c>
      <c r="F30" s="9">
        <f>COUNTIF(F2:F29,"P")</f>
        <v/>
      </c>
      <c r="G30" s="9">
        <f>COUNTIF(G2:G29,"P")</f>
        <v/>
      </c>
    </row>
    <row r="32">
      <c r="A32" s="8" t="inlineStr">
        <is>
          <t>Legend:</t>
        </is>
      </c>
    </row>
    <row r="33">
      <c r="A33" s="10" t="inlineStr">
        <is>
          <t>P = Present (on sign-in sheet)</t>
        </is>
      </c>
    </row>
    <row r="34">
      <c r="A34" s="11" t="inlineStr">
        <is>
          <t>E = Excused (emailed before class, not on sheet)</t>
        </is>
      </c>
    </row>
    <row r="35">
      <c r="A35" s="12" t="inlineStr">
        <is>
          <t>A = Absent (unexcused)</t>
        </is>
      </c>
    </row>
    <row r="36">
      <c r="A36" t="inlineStr">
        <is>
          <t>% = (Present + Excused) / Total Sessions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2026-03-16T23:03:51Z</dcterms:created>
  <dcterms:modified xmlns:dcterms="http://purl.org/dc/terms/" xmlns:xsi="http://www.w3.org/2001/XMLSchema-instance" xsi:type="dcterms:W3CDTF">2026-03-16T23:03:51Z</dcterms:modified>
</cp:coreProperties>
</file>